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<sst xmlns="http://schemas.openxmlformats.org/spreadsheetml/2006/main" count="20" uniqueCount="14">
  <si>
    <t xml:space="preserve">Mesh</t>
  </si>
  <si>
    <t xml:space="preserve">TotalVolume</t>
  </si>
  <si>
    <t xml:space="preserve">NumCells</t>
  </si>
  <si>
    <t xml:space="preserve">h</t>
  </si>
  <si>
    <t xml:space="preserve">fine_mesh</t>
  </si>
  <si>
    <t xml:space="preserve">medium_mesh</t>
  </si>
  <si>
    <t xml:space="preserve">SA</t>
  </si>
  <si>
    <t xml:space="preserve">coarse_mesh</t>
  </si>
  <si>
    <t xml:space="preserve">Coarse Mesh</t>
  </si>
  <si>
    <t xml:space="preserve">Cd</t>
  </si>
  <si>
    <t xml:space="preserve">Cl</t>
  </si>
  <si>
    <t xml:space="preserve">Cm</t>
  </si>
  <si>
    <t xml:space="preserve">Medium Mesh</t>
  </si>
  <si>
    <t xml:space="preserve">Fine Mesh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</si>
</sst>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%"/>
    <numFmt numFmtId="167" formatCode="0.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E3B34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3B341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9" activeCellId="0" sqref="D19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4.5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4.9" hidden="false" customHeight="false" outlineLevel="0" collapsed="false">
      <c r="A2" s="1" t="s">
        <v>4</v>
      </c>
      <c r="B2" s="2" t="n">
        <v>1.716</v>
      </c>
      <c r="C2" s="1" t="n">
        <v>1566923</v>
      </c>
      <c r="D2" s="0" t="n">
        <f aca="false">(B2/C2)^(1/3)</f>
        <v>0.0103075759307044</v>
      </c>
    </row>
    <row r="3" customFormat="false" ht="14.9" hidden="false" customHeight="false" outlineLevel="0" collapsed="false">
      <c r="A3" s="1" t="s">
        <v>5</v>
      </c>
      <c r="B3" s="2" t="n">
        <v>1.716</v>
      </c>
      <c r="C3" s="1" t="n">
        <v>901017</v>
      </c>
      <c r="D3" s="0" t="n">
        <f aca="false">(B3/C3)^(1/3)</f>
        <v>0.0123954253095513</v>
      </c>
      <c r="H3" s="0" t="s">
        <v>6</v>
      </c>
    </row>
    <row r="4" customFormat="false" ht="14.9" hidden="false" customHeight="false" outlineLevel="0" collapsed="false">
      <c r="A4" s="1" t="s">
        <v>7</v>
      </c>
      <c r="B4" s="2" t="n">
        <v>1.716</v>
      </c>
      <c r="C4" s="1" t="n">
        <v>267331</v>
      </c>
      <c r="D4" s="0" t="n">
        <f aca="false">(B4/C4)^(1/3)</f>
        <v>0.0185847184815183</v>
      </c>
    </row>
    <row r="5" customFormat="false" ht="13.8" hidden="false" customHeight="false" outlineLevel="0" collapsed="false">
      <c r="A5" s="1"/>
      <c r="B5" s="2"/>
      <c r="C5" s="1"/>
    </row>
    <row r="6" customFormat="false" ht="12.8" hidden="false" customHeight="false" outlineLevel="0" collapsed="false">
      <c r="A6" s="3" t="s">
        <v>8</v>
      </c>
      <c r="B6" s="0" t="n">
        <v>0.001</v>
      </c>
      <c r="C6" s="0" t="n">
        <f aca="false">B6/2</f>
        <v>0.0005</v>
      </c>
      <c r="D6" s="0" t="n">
        <f aca="false">C6/2</f>
        <v>0.00025</v>
      </c>
    </row>
    <row r="7" customFormat="false" ht="12.8" hidden="false" customHeight="false" outlineLevel="0" collapsed="false">
      <c r="A7" s="0" t="s">
        <v>9</v>
      </c>
      <c r="B7" s="4" t="n">
        <v>1.17825881818182</v>
      </c>
      <c r="C7" s="4" t="n">
        <v>1.19430936363636</v>
      </c>
      <c r="D7" s="4" t="n">
        <v>1.16450709090909</v>
      </c>
      <c r="E7" s="5"/>
      <c r="F7" s="5"/>
      <c r="G7" s="5"/>
    </row>
    <row r="8" customFormat="false" ht="12.8" hidden="false" customHeight="false" outlineLevel="0" collapsed="false">
      <c r="A8" s="0" t="s">
        <v>10</v>
      </c>
      <c r="B8" s="4" t="n">
        <v>-0.5557519</v>
      </c>
      <c r="C8" s="4" t="n">
        <v>-0.619441636363636</v>
      </c>
      <c r="D8" s="4" t="n">
        <v>-0.613162727272727</v>
      </c>
      <c r="E8" s="5"/>
      <c r="F8" s="5"/>
      <c r="G8" s="5"/>
    </row>
    <row r="9" customFormat="false" ht="12.8" hidden="false" customHeight="false" outlineLevel="0" collapsed="false">
      <c r="A9" s="0" t="s">
        <v>11</v>
      </c>
      <c r="B9" s="4" t="n">
        <v>-4.782196</v>
      </c>
      <c r="C9" s="4" t="n">
        <v>-5.28185463636364</v>
      </c>
      <c r="D9" s="4" t="n">
        <v>-5.22039536363636</v>
      </c>
      <c r="E9" s="5"/>
      <c r="F9" s="5"/>
      <c r="G9" s="5"/>
    </row>
    <row r="11" customFormat="false" ht="12.8" hidden="false" customHeight="false" outlineLevel="0" collapsed="false">
      <c r="A11" s="3" t="s">
        <v>12</v>
      </c>
      <c r="B11" s="0" t="n">
        <v>0.001</v>
      </c>
      <c r="C11" s="0" t="n">
        <f aca="false">B11/2</f>
        <v>0.0005</v>
      </c>
      <c r="D11" s="0" t="n">
        <f aca="false">C11/2</f>
        <v>0.00025</v>
      </c>
    </row>
    <row r="12" customFormat="false" ht="12.8" hidden="false" customHeight="false" outlineLevel="0" collapsed="false">
      <c r="A12" s="0" t="s">
        <v>9</v>
      </c>
      <c r="B12" s="4" t="n">
        <v>1.19249118181818</v>
      </c>
      <c r="C12" s="4" t="n">
        <v>1.19188827272727</v>
      </c>
      <c r="D12" s="4" t="n">
        <v>1.19334172727273</v>
      </c>
      <c r="E12" s="5"/>
      <c r="F12" s="5"/>
      <c r="G12" s="5"/>
    </row>
    <row r="13" customFormat="false" ht="12.8" hidden="false" customHeight="false" outlineLevel="0" collapsed="false">
      <c r="A13" s="0" t="s">
        <v>10</v>
      </c>
      <c r="B13" s="4" t="n">
        <v>-0.560968572727273</v>
      </c>
      <c r="C13" s="4" t="n">
        <v>-0.555122481818182</v>
      </c>
      <c r="D13" s="4" t="n">
        <v>-0.570201281818182</v>
      </c>
      <c r="E13" s="5"/>
      <c r="F13" s="5"/>
      <c r="G13" s="5"/>
    </row>
    <row r="14" customFormat="false" ht="12.8" hidden="false" customHeight="false" outlineLevel="0" collapsed="false">
      <c r="A14" s="0" t="s">
        <v>11</v>
      </c>
      <c r="B14" s="4" t="n">
        <v>-4.82620836363636</v>
      </c>
      <c r="C14" s="4" t="n">
        <v>-4.78596118181818</v>
      </c>
      <c r="D14" s="4" t="n">
        <v>-4.907188</v>
      </c>
      <c r="E14" s="5"/>
      <c r="F14" s="5"/>
      <c r="G14" s="5"/>
    </row>
    <row r="16" customFormat="false" ht="12.8" hidden="false" customHeight="false" outlineLevel="0" collapsed="false">
      <c r="A16" s="3" t="s">
        <v>13</v>
      </c>
      <c r="B16" s="0" t="n">
        <v>0.001</v>
      </c>
      <c r="C16" s="0" t="n">
        <f aca="false">B16/2</f>
        <v>0.0005</v>
      </c>
      <c r="D16" s="0" t="n">
        <f aca="false">C16/2</f>
        <v>0.00025</v>
      </c>
    </row>
    <row r="17" customFormat="false" ht="12.8" hidden="false" customHeight="false" outlineLevel="0" collapsed="false">
      <c r="A17" s="0" t="s">
        <v>9</v>
      </c>
      <c r="B17" s="4" t="n">
        <v>1.21045954545455</v>
      </c>
      <c r="C17" s="4" t="n">
        <v>1.21283445454546</v>
      </c>
      <c r="D17" s="6" t="n">
        <v>1.20115072727273</v>
      </c>
      <c r="E17" s="5"/>
      <c r="F17" s="5"/>
      <c r="G17" s="5"/>
    </row>
    <row r="18" customFormat="false" ht="12.8" hidden="false" customHeight="false" outlineLevel="0" collapsed="false">
      <c r="A18" s="0" t="s">
        <v>10</v>
      </c>
      <c r="B18" s="4" t="n">
        <v>-0.549823272727273</v>
      </c>
      <c r="C18" s="4" t="n">
        <v>-0.543919809090909</v>
      </c>
      <c r="D18" s="6" t="n">
        <v>-0.5453936</v>
      </c>
      <c r="E18" s="5"/>
      <c r="F18" s="5"/>
      <c r="G18" s="5"/>
    </row>
    <row r="19" customFormat="false" ht="12.8" hidden="false" customHeight="false" outlineLevel="0" collapsed="false">
      <c r="A19" s="0" t="s">
        <v>11</v>
      </c>
      <c r="B19" s="4" t="n">
        <v>-4.75410045454545</v>
      </c>
      <c r="C19" s="4" t="n">
        <v>-4.70814854545455</v>
      </c>
      <c r="D19" s="6" t="n">
        <v>-4.72837927272727</v>
      </c>
      <c r="E19" s="5"/>
      <c r="F19" s="5"/>
      <c r="G19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2026-04-09T13:22:28Z</dcterms:created>
  <dc:creator/>
  <dc:description/>
  <dc:language>en-US</dc:language>
  <cp:lastModifiedBy/>
  <dcterms:modified xsi:type="dcterms:W3CDTF">2026-04-11T04:01:23Z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